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929"/>
  <workbookPr defaultThemeVersion="166925"/>
  <mc:AlternateContent xmlns:mc="http://schemas.openxmlformats.org/markup-compatibility/2006">
    <mc:Choice Requires="x15">
      <x15ac:absPath xmlns:x15ac="http://schemas.microsoft.com/office/spreadsheetml/2010/11/ac" url="E:\OneDrive - Griffith University\Second Year\First Trimester\2802ICT - Intelligent Systems\assessment\ass1CPP\"/>
    </mc:Choice>
  </mc:AlternateContent>
  <xr:revisionPtr revIDLastSave="13" documentId="13_ncr:1_{951D7B27-004A-4D3B-B2CB-35DED955E665}" xr6:coauthVersionLast="44" xr6:coauthVersionMax="44" xr10:uidLastSave="{900729BF-E6A4-4693-B857-D8106561494C}"/>
  <bookViews>
    <workbookView xWindow="28680" yWindow="-120" windowWidth="29040" windowHeight="16440" xr2:uid="{53CB858A-427C-4403-994D-74452B611C3C}"/>
  </bookViews>
  <sheets>
    <sheet name="BFS Time" sheetId="1" r:id="rId1"/>
    <sheet name="Hill Climbing" sheetId="3" r:id="rId2"/>
    <sheet name="Simulated Annealing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30" i="1" l="1"/>
  <c r="I30" i="1" s="1"/>
  <c r="H29" i="1"/>
  <c r="I29" i="1" s="1"/>
  <c r="I28" i="1"/>
  <c r="H28" i="1"/>
  <c r="I27" i="1"/>
  <c r="I26" i="1"/>
  <c r="I25" i="1"/>
  <c r="H31" i="1" l="1"/>
  <c r="C3" i="3"/>
  <c r="B4" i="3"/>
  <c r="B5" i="3" s="1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H32" i="1" l="1"/>
  <c r="I31" i="1"/>
  <c r="G26" i="2"/>
  <c r="G25" i="2"/>
  <c r="F26" i="2"/>
  <c r="F25" i="2"/>
  <c r="D26" i="2"/>
  <c r="D25" i="2"/>
  <c r="C26" i="2"/>
  <c r="C25" i="2"/>
  <c r="B5" i="2"/>
  <c r="B6" i="2" s="1"/>
  <c r="B7" i="2" s="1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J24" i="1"/>
  <c r="I24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5" i="1"/>
  <c r="J5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H10" i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9" i="1"/>
  <c r="E20" i="1"/>
  <c r="E19" i="1"/>
  <c r="E18" i="1"/>
  <c r="E17" i="1"/>
  <c r="E16" i="1"/>
  <c r="E15" i="1"/>
  <c r="E14" i="1"/>
  <c r="E13" i="1"/>
  <c r="E12" i="1"/>
  <c r="E11" i="1"/>
  <c r="E10" i="1"/>
  <c r="E9" i="1"/>
  <c r="D10" i="1"/>
  <c r="D9" i="1"/>
  <c r="D5" i="1"/>
  <c r="C7" i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6" i="1"/>
  <c r="H33" i="1" l="1"/>
  <c r="I32" i="1"/>
  <c r="H34" i="1" l="1"/>
  <c r="I33" i="1"/>
  <c r="I34" i="1" l="1"/>
  <c r="H35" i="1"/>
  <c r="I35" i="1" l="1"/>
  <c r="H36" i="1"/>
  <c r="I36" i="1" l="1"/>
  <c r="H37" i="1"/>
  <c r="H38" i="1" l="1"/>
  <c r="I37" i="1"/>
  <c r="H39" i="1" l="1"/>
  <c r="I38" i="1"/>
  <c r="H40" i="1" l="1"/>
  <c r="I39" i="1"/>
  <c r="I40" i="1" l="1"/>
  <c r="H41" i="1"/>
  <c r="I41" i="1" l="1"/>
  <c r="H42" i="1"/>
  <c r="H43" i="1" l="1"/>
  <c r="I42" i="1"/>
  <c r="I43" i="1" l="1"/>
  <c r="H44" i="1"/>
  <c r="H45" i="1" l="1"/>
  <c r="I44" i="1"/>
  <c r="H46" i="1" l="1"/>
  <c r="I45" i="1"/>
  <c r="I46" i="1" l="1"/>
  <c r="H47" i="1"/>
  <c r="I47" i="1" l="1"/>
  <c r="H48" i="1"/>
  <c r="H49" i="1" l="1"/>
  <c r="I48" i="1"/>
  <c r="H50" i="1" l="1"/>
  <c r="I49" i="1"/>
  <c r="H51" i="1" l="1"/>
  <c r="I50" i="1"/>
  <c r="H52" i="1" l="1"/>
  <c r="I51" i="1"/>
  <c r="H53" i="1" l="1"/>
  <c r="I53" i="1" s="1"/>
  <c r="I52" i="1"/>
</calcChain>
</file>

<file path=xl/sharedStrings.xml><?xml version="1.0" encoding="utf-8"?>
<sst xmlns="http://schemas.openxmlformats.org/spreadsheetml/2006/main" count="33" uniqueCount="20">
  <si>
    <t xml:space="preserve">N = </t>
  </si>
  <si>
    <t>Time taken</t>
  </si>
  <si>
    <t>Times bigger than previous</t>
  </si>
  <si>
    <t>BFS benchmarks</t>
  </si>
  <si>
    <t>N/A</t>
  </si>
  <si>
    <t>OldN</t>
  </si>
  <si>
    <t>newN</t>
  </si>
  <si>
    <t>Predicted time (seconds)</t>
  </si>
  <si>
    <t>Predicted time (years)</t>
  </si>
  <si>
    <t>N = 30 seconds</t>
  </si>
  <si>
    <t>N = 30 years</t>
  </si>
  <si>
    <t>Temperature = 0</t>
  </si>
  <si>
    <t>SA</t>
  </si>
  <si>
    <t>SARR</t>
  </si>
  <si>
    <t>Temperature = 10,000 &amp; cooling = 0.98</t>
  </si>
  <si>
    <t>MEDIAN</t>
  </si>
  <si>
    <t>AVERAGE</t>
  </si>
  <si>
    <t>HCSS</t>
  </si>
  <si>
    <t>HCRR</t>
  </si>
  <si>
    <t>HC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</si>
</sst>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2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2" fillId="0" borderId="0" xfId="0" applyFont="1" applyBorder="1" applyAlignment="1">
      <alignment horizontal="center" vertical="center"/>
    </xf>
    <xf numFmtId="0" fontId="0" fillId="0" borderId="2" xfId="0" applyBorder="1"/>
    <xf numFmtId="0" fontId="0" fillId="0" borderId="2" xfId="0" applyBorder="1" applyAlignment="1">
      <alignment horizontal="right"/>
    </xf>
    <xf numFmtId="11" fontId="0" fillId="0" borderId="2" xfId="0" applyNumberFormat="1" applyBorder="1"/>
    <xf numFmtId="0" fontId="3" fillId="0" borderId="3" xfId="0" applyFont="1" applyBorder="1" applyAlignment="1">
      <alignment horizontal="center" vertical="center"/>
    </xf>
    <xf numFmtId="0" fontId="1" fillId="0" borderId="4" xfId="0" applyFont="1" applyBorder="1"/>
    <xf numFmtId="0" fontId="1" fillId="0" borderId="5" xfId="0" applyFont="1" applyBorder="1"/>
    <xf numFmtId="0" fontId="2" fillId="0" borderId="6" xfId="0" applyFont="1" applyBorder="1" applyAlignment="1">
      <alignment horizontal="center" vertical="center"/>
    </xf>
    <xf numFmtId="0" fontId="0" fillId="0" borderId="7" xfId="0" applyBorder="1" applyAlignment="1">
      <alignment horizontal="right"/>
    </xf>
    <xf numFmtId="0" fontId="0" fillId="0" borderId="7" xfId="0" applyNumberFormat="1" applyBorder="1"/>
    <xf numFmtId="0" fontId="2" fillId="0" borderId="8" xfId="0" applyFont="1" applyBorder="1" applyAlignment="1">
      <alignment horizontal="center" vertical="center"/>
    </xf>
    <xf numFmtId="0" fontId="0" fillId="0" borderId="9" xfId="0" applyBorder="1"/>
    <xf numFmtId="0" fontId="0" fillId="0" borderId="10" xfId="0" applyNumberFormat="1" applyBorder="1"/>
    <xf numFmtId="0" fontId="0" fillId="2" borderId="1" xfId="0" applyFill="1" applyBorder="1" applyAlignment="1"/>
    <xf numFmtId="0" fontId="0" fillId="2" borderId="2" xfId="0" applyFill="1" applyBorder="1"/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/>
    <xf numFmtId="0" fontId="0" fillId="0" borderId="10" xfId="0" applyBorder="1"/>
    <xf numFmtId="0" fontId="0" fillId="0" borderId="11" xfId="0" applyBorder="1" applyAlignment="1">
      <alignment horizontal="center"/>
    </xf>
    <xf numFmtId="0" fontId="0" fillId="2" borderId="11" xfId="0" applyFill="1" applyBorder="1"/>
    <xf numFmtId="0" fontId="0" fillId="0" borderId="11" xfId="0" applyBorder="1"/>
    <xf numFmtId="0" fontId="0" fillId="0" borderId="12" xfId="0" applyBorder="1"/>
    <xf numFmtId="0" fontId="0" fillId="0" borderId="13" xfId="0" applyBorder="1" applyAlignment="1">
      <alignment horizontal="center"/>
    </xf>
    <xf numFmtId="0" fontId="0" fillId="2" borderId="15" xfId="0" applyFill="1" applyBorder="1"/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18" xfId="0" applyFill="1" applyBorder="1" applyAlignment="1">
      <alignment horizontal="center"/>
    </xf>
    <xf numFmtId="0" fontId="0" fillId="2" borderId="19" xfId="0" applyFill="1" applyBorder="1"/>
    <xf numFmtId="0" fontId="0" fillId="2" borderId="20" xfId="0" applyFill="1" applyBorder="1"/>
    <xf numFmtId="0" fontId="0" fillId="0" borderId="3" xfId="0" applyBorder="1"/>
    <xf numFmtId="0" fontId="0" fillId="0" borderId="5" xfId="0" applyBorder="1"/>
    <xf numFmtId="0" fontId="0" fillId="2" borderId="18" xfId="0" applyFill="1" applyBorder="1"/>
    <xf numFmtId="0" fontId="0" fillId="2" borderId="21" xfId="0" applyFill="1" applyBorder="1"/>
    <xf numFmtId="0" fontId="0" fillId="2" borderId="22" xfId="0" applyFill="1" applyBorder="1"/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n-queens</a:t>
            </a:r>
            <a:r>
              <a:rPr lang="en-US" baseline="0"/>
              <a:t> BFs solution time</a:t>
            </a:r>
            <a:endParaRPr lang="en-US"/>
          </a:p>
        </c:rich>
      </c:tx>
      <c:layout>
        <c:manualLayout>
          <c:xMode val="edge"/>
          <c:yMode val="edge"/>
          <c:x val="0.29720888888888891"/>
          <c:y val="1.257861635220125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'BFS Time'!$D$4:$D$7</c:f>
              <c:strCache>
                <c:ptCount val="4"/>
                <c:pt idx="0">
                  <c:v>Time taken</c:v>
                </c:pt>
                <c:pt idx="1">
                  <c:v>0.000019</c:v>
                </c:pt>
                <c:pt idx="2">
                  <c:v>N/A</c:v>
                </c:pt>
                <c:pt idx="3">
                  <c:v>N/A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exp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8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'BFS Time'!$C$8:$C$20</c:f>
              <c:numCache>
                <c:formatCode>General</c:formatCode>
                <c:ptCount val="13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  <c:pt idx="5">
                  <c:v>9</c:v>
                </c:pt>
                <c:pt idx="6">
                  <c:v>10</c:v>
                </c:pt>
                <c:pt idx="7">
                  <c:v>11</c:v>
                </c:pt>
                <c:pt idx="8">
                  <c:v>12</c:v>
                </c:pt>
                <c:pt idx="9">
                  <c:v>13</c:v>
                </c:pt>
                <c:pt idx="10">
                  <c:v>14</c:v>
                </c:pt>
                <c:pt idx="11">
                  <c:v>15</c:v>
                </c:pt>
                <c:pt idx="12">
                  <c:v>16</c:v>
                </c:pt>
              </c:numCache>
            </c:numRef>
          </c:xVal>
          <c:yVal>
            <c:numRef>
              <c:f>'BFS Time'!$D$8:$D$20</c:f>
              <c:numCache>
                <c:formatCode>General</c:formatCode>
                <c:ptCount val="13"/>
                <c:pt idx="0" formatCode="0.00E+00">
                  <c:v>6.9999999999999999E-6</c:v>
                </c:pt>
                <c:pt idx="1">
                  <c:v>1.9E-6</c:v>
                </c:pt>
                <c:pt idx="2">
                  <c:v>3.8000000000000002E-5</c:v>
                </c:pt>
                <c:pt idx="3">
                  <c:v>1.2799999999999999E-4</c:v>
                </c:pt>
                <c:pt idx="4">
                  <c:v>5.1999999999999995E-4</c:v>
                </c:pt>
                <c:pt idx="5">
                  <c:v>2.003E-3</c:v>
                </c:pt>
                <c:pt idx="6">
                  <c:v>8.8249999999999995E-3</c:v>
                </c:pt>
                <c:pt idx="7">
                  <c:v>4.6162000000000002E-2</c:v>
                </c:pt>
                <c:pt idx="8">
                  <c:v>0.236206</c:v>
                </c:pt>
                <c:pt idx="9">
                  <c:v>1.2398499999999999</c:v>
                </c:pt>
                <c:pt idx="10">
                  <c:v>7.5340800000000003</c:v>
                </c:pt>
                <c:pt idx="11">
                  <c:v>46.216299999999997</c:v>
                </c:pt>
                <c:pt idx="12">
                  <c:v>1529.03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7D5-4655-B531-995FF427B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1165024"/>
        <c:axId val="1851887072"/>
      </c:scatterChart>
      <c:valAx>
        <c:axId val="1641165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number</a:t>
                </a:r>
                <a:r>
                  <a:rPr lang="en-AU" baseline="0"/>
                  <a:t> of queens</a:t>
                </a:r>
                <a:endParaRPr lang="en-AU"/>
              </a:p>
            </c:rich>
          </c:tx>
          <c:layout>
            <c:manualLayout>
              <c:xMode val="edge"/>
              <c:yMode val="edge"/>
              <c:x val="0.50504818897637804"/>
              <c:y val="0.9539097707126230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1887072"/>
        <c:crosses val="autoZero"/>
        <c:crossBetween val="midCat"/>
      </c:valAx>
      <c:valAx>
        <c:axId val="185188707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log10</a:t>
                </a:r>
                <a:r>
                  <a:rPr lang="en-AU" baseline="0"/>
                  <a:t>(time taken in seconds)</a:t>
                </a:r>
                <a:endParaRPr lang="en-A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11650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Hill Climbing Searches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3239147575688844E-2"/>
          <c:y val="7.7968429705628339E-2"/>
          <c:w val="0.78452216929673912"/>
          <c:h val="0.82486512693547109"/>
        </c:manualLayout>
      </c:layout>
      <c:scatterChart>
        <c:scatterStyle val="lineMarker"/>
        <c:varyColors val="0"/>
        <c:ser>
          <c:idx val="0"/>
          <c:order val="0"/>
          <c:tx>
            <c:v>Hill Climbing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power"/>
            <c:dispRSqr val="1"/>
            <c:dispEq val="0"/>
            <c:trendlineLbl>
              <c:layout>
                <c:manualLayout>
                  <c:x val="4.9164360627761035E-2"/>
                  <c:y val="-9.0988068178205744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'Hill Climbing'!$B$3:$B$17</c:f>
              <c:numCache>
                <c:formatCode>General</c:formatCode>
                <c:ptCount val="15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  <c:pt idx="12">
                  <c:v>130</c:v>
                </c:pt>
                <c:pt idx="13">
                  <c:v>140</c:v>
                </c:pt>
                <c:pt idx="14">
                  <c:v>150</c:v>
                </c:pt>
              </c:numCache>
            </c:numRef>
          </c:xVal>
          <c:yVal>
            <c:numRef>
              <c:f>'Hill Climbing'!$C$3:$C$17</c:f>
              <c:numCache>
                <c:formatCode>General</c:formatCode>
                <c:ptCount val="15"/>
                <c:pt idx="0">
                  <c:v>8.6000000000000003E-5</c:v>
                </c:pt>
                <c:pt idx="1">
                  <c:v>2.9589999999999998E-3</c:v>
                </c:pt>
                <c:pt idx="2">
                  <c:v>1.9303000000000001E-2</c:v>
                </c:pt>
                <c:pt idx="3">
                  <c:v>4.6774999999999997E-2</c:v>
                </c:pt>
                <c:pt idx="4">
                  <c:v>0.15993499999999999</c:v>
                </c:pt>
                <c:pt idx="5">
                  <c:v>0.202901</c:v>
                </c:pt>
                <c:pt idx="6">
                  <c:v>0.76786200000000004</c:v>
                </c:pt>
                <c:pt idx="7">
                  <c:v>0.945299</c:v>
                </c:pt>
                <c:pt idx="8">
                  <c:v>1.68699</c:v>
                </c:pt>
                <c:pt idx="9">
                  <c:v>3.3643100000000001</c:v>
                </c:pt>
                <c:pt idx="10">
                  <c:v>6.0031299999999996</c:v>
                </c:pt>
                <c:pt idx="11">
                  <c:v>8.0260499999999997</c:v>
                </c:pt>
                <c:pt idx="12">
                  <c:v>10.209899999999999</c:v>
                </c:pt>
                <c:pt idx="13">
                  <c:v>14.5625</c:v>
                </c:pt>
                <c:pt idx="14">
                  <c:v>21.048500000000001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559-4858-8E30-6AC4F11E62B5}"/>
            </c:ext>
          </c:extLst>
        </c:ser>
        <c:ser>
          <c:idx val="1"/>
          <c:order val="1"/>
          <c:tx>
            <c:v>Hill Climbing Stochastic Search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/>
            </c:spPr>
          </c:marker>
          <c:trendline>
            <c:spPr>
              <a:ln w="9525" cap="rnd">
                <a:solidFill>
                  <a:schemeClr val="accent2"/>
                </a:solidFill>
              </a:ln>
              <a:effectLst/>
            </c:spPr>
            <c:trendlineType val="power"/>
            <c:dispRSqr val="1"/>
            <c:dispEq val="0"/>
            <c:trendlineLbl>
              <c:layout>
                <c:manualLayout>
                  <c:x val="5.5748722767678734E-2"/>
                  <c:y val="-8.4093822387339232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'Hill Climbing'!$B$3:$B$17</c:f>
              <c:numCache>
                <c:formatCode>General</c:formatCode>
                <c:ptCount val="15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  <c:pt idx="12">
                  <c:v>130</c:v>
                </c:pt>
                <c:pt idx="13">
                  <c:v>140</c:v>
                </c:pt>
                <c:pt idx="14">
                  <c:v>150</c:v>
                </c:pt>
              </c:numCache>
            </c:numRef>
          </c:xVal>
          <c:yVal>
            <c:numRef>
              <c:f>'Hill Climbing'!$D$3:$D$17</c:f>
              <c:numCache>
                <c:formatCode>General</c:formatCode>
                <c:ptCount val="15"/>
                <c:pt idx="0">
                  <c:v>4.75E-4</c:v>
                </c:pt>
                <c:pt idx="1">
                  <c:v>6.0219999999999996E-3</c:v>
                </c:pt>
                <c:pt idx="2">
                  <c:v>1.2244E-2</c:v>
                </c:pt>
                <c:pt idx="3">
                  <c:v>4.3147999999999999E-2</c:v>
                </c:pt>
                <c:pt idx="4">
                  <c:v>0.13850499999999999</c:v>
                </c:pt>
                <c:pt idx="5">
                  <c:v>0.19014200000000001</c:v>
                </c:pt>
                <c:pt idx="6">
                  <c:v>0.81885699999999995</c:v>
                </c:pt>
                <c:pt idx="7">
                  <c:v>0.88170300000000001</c:v>
                </c:pt>
                <c:pt idx="8">
                  <c:v>1.7022600000000001</c:v>
                </c:pt>
                <c:pt idx="9">
                  <c:v>3.2916799999999999</c:v>
                </c:pt>
                <c:pt idx="10">
                  <c:v>5.4827000000000004</c:v>
                </c:pt>
                <c:pt idx="11">
                  <c:v>8.0723199999999995</c:v>
                </c:pt>
                <c:pt idx="12">
                  <c:v>13.795199999999999</c:v>
                </c:pt>
                <c:pt idx="13">
                  <c:v>16.3749</c:v>
                </c:pt>
                <c:pt idx="14">
                  <c:v>21.153600000000001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559-4858-8E30-6AC4F11E62B5}"/>
            </c:ext>
          </c:extLst>
        </c:ser>
        <c:ser>
          <c:idx val="2"/>
          <c:order val="2"/>
          <c:tx>
            <c:v>Hill Climbing Random Restart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3"/>
                </a:solidFill>
                <a:round/>
              </a:ln>
              <a:effectLst/>
            </c:spPr>
          </c:marker>
          <c:trendline>
            <c:spPr>
              <a:ln w="9525" cap="rnd">
                <a:solidFill>
                  <a:schemeClr val="accent3"/>
                </a:solidFill>
              </a:ln>
              <a:effectLst/>
            </c:spPr>
            <c:trendlineType val="power"/>
            <c:dispRSqr val="1"/>
            <c:dispEq val="0"/>
            <c:trendlineLbl>
              <c:layout>
                <c:manualLayout>
                  <c:x val="5.2456541697719884E-2"/>
                  <c:y val="-1.327822936074903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'Hill Climbing'!$B$3:$B$17</c:f>
              <c:numCache>
                <c:formatCode>General</c:formatCode>
                <c:ptCount val="15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  <c:pt idx="12">
                  <c:v>130</c:v>
                </c:pt>
                <c:pt idx="13">
                  <c:v>140</c:v>
                </c:pt>
                <c:pt idx="14">
                  <c:v>150</c:v>
                </c:pt>
              </c:numCache>
            </c:numRef>
          </c:xVal>
          <c:yVal>
            <c:numRef>
              <c:f>'Hill Climbing'!$E$3:$E$17</c:f>
              <c:numCache>
                <c:formatCode>General</c:formatCode>
                <c:ptCount val="15"/>
                <c:pt idx="0">
                  <c:v>1.95E-4</c:v>
                </c:pt>
                <c:pt idx="1">
                  <c:v>2.2829999999999999E-3</c:v>
                </c:pt>
                <c:pt idx="2">
                  <c:v>1.0973E-2</c:v>
                </c:pt>
                <c:pt idx="3">
                  <c:v>5.5018999999999998E-2</c:v>
                </c:pt>
                <c:pt idx="4">
                  <c:v>0.14929100000000001</c:v>
                </c:pt>
                <c:pt idx="5">
                  <c:v>0.55074999999999996</c:v>
                </c:pt>
                <c:pt idx="6">
                  <c:v>1.1645700000000001</c:v>
                </c:pt>
                <c:pt idx="7">
                  <c:v>3.4639500000000001</c:v>
                </c:pt>
                <c:pt idx="8">
                  <c:v>2.1688200000000002</c:v>
                </c:pt>
                <c:pt idx="9">
                  <c:v>3.0918199999999998</c:v>
                </c:pt>
                <c:pt idx="10">
                  <c:v>4.9277100000000003</c:v>
                </c:pt>
                <c:pt idx="11">
                  <c:v>7.8219000000000003</c:v>
                </c:pt>
                <c:pt idx="12">
                  <c:v>21.8446</c:v>
                </c:pt>
                <c:pt idx="13">
                  <c:v>13.506600000000001</c:v>
                </c:pt>
                <c:pt idx="14">
                  <c:v>39.650199999999998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559-4858-8E30-6AC4F11E62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594767"/>
        <c:axId val="2017926511"/>
      </c:scatterChart>
      <c:valAx>
        <c:axId val="46594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N =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7926511"/>
        <c:crosses val="autoZero"/>
        <c:crossBetween val="midCat"/>
      </c:valAx>
      <c:valAx>
        <c:axId val="2017926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Seconds spent to solve</a:t>
                </a:r>
              </a:p>
            </c:rich>
          </c:tx>
          <c:layout>
            <c:manualLayout>
              <c:xMode val="edge"/>
              <c:yMode val="edge"/>
              <c:x val="1.0398613518197574E-2"/>
              <c:y val="0.4473414034692404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594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8467078405322791"/>
          <c:y val="6.3362831638504771E-2"/>
          <c:w val="0.12962958642515365"/>
          <c:h val="0.826183536600422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18527</xdr:colOff>
      <xdr:row>21</xdr:row>
      <xdr:rowOff>54565</xdr:rowOff>
    </xdr:from>
    <xdr:to>
      <xdr:col>6</xdr:col>
      <xdr:colOff>316155</xdr:colOff>
      <xdr:row>36</xdr:row>
      <xdr:rowOff>139047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116327-D677-490B-996F-7E2667A2D4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209549</xdr:colOff>
      <xdr:row>2</xdr:row>
      <xdr:rowOff>142874</xdr:rowOff>
    </xdr:from>
    <xdr:to>
      <xdr:col>24</xdr:col>
      <xdr:colOff>200024</xdr:colOff>
      <xdr:row>34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E85C9E9-A40D-4811-820E-C3AB55920C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23C0-542A-4CC9-BEE5-1DDDFBE1174F}">
  <dimension ref="B2:K53"/>
  <sheetViews>
    <sheetView tabSelected="1" topLeftCell="A22" zoomScale="115" zoomScaleNormal="115" workbookViewId="0">
      <selection activeCell="H40" sqref="H40:I40"/>
    </sheetView>
  </sheetViews>
  <sheetFormatPr defaultRowHeight="15" x14ac:dyDescent="0.25"/>
  <cols>
    <col min="4" max="4" width="11.5703125" customWidth="1"/>
    <col min="5" max="5" width="24.85546875" customWidth="1"/>
    <col min="9" max="9" width="13.140625" bestFit="1" customWidth="1"/>
    <col min="10" max="10" width="22.85546875" customWidth="1"/>
    <col min="11" max="11" width="21" bestFit="1" customWidth="1"/>
  </cols>
  <sheetData>
    <row r="2" spans="2:11" x14ac:dyDescent="0.25">
      <c r="B2" s="1"/>
      <c r="C2" s="1"/>
      <c r="D2" t="s">
        <v>3</v>
      </c>
    </row>
    <row r="3" spans="2:11" ht="15.75" thickBot="1" x14ac:dyDescent="0.3">
      <c r="B3" s="1"/>
      <c r="C3" s="1"/>
    </row>
    <row r="4" spans="2:11" x14ac:dyDescent="0.25">
      <c r="B4" s="1"/>
      <c r="C4" s="5" t="s">
        <v>0</v>
      </c>
      <c r="D4" s="6" t="s">
        <v>1</v>
      </c>
      <c r="E4" s="7" t="s">
        <v>2</v>
      </c>
      <c r="H4" s="2" t="s">
        <v>5</v>
      </c>
      <c r="I4" s="2" t="s">
        <v>6</v>
      </c>
      <c r="J4" s="2" t="s">
        <v>7</v>
      </c>
      <c r="K4" s="2" t="s">
        <v>8</v>
      </c>
    </row>
    <row r="5" spans="2:11" x14ac:dyDescent="0.25">
      <c r="B5" s="1"/>
      <c r="C5" s="8">
        <v>1</v>
      </c>
      <c r="D5" s="2">
        <f>0.000019</f>
        <v>1.9000000000000001E-5</v>
      </c>
      <c r="E5" s="9" t="s">
        <v>4</v>
      </c>
      <c r="H5" s="2">
        <v>1</v>
      </c>
      <c r="I5" s="2">
        <v>30</v>
      </c>
      <c r="J5" s="4">
        <f>D5/FACT(C5)*FACT(I5)</f>
        <v>5.0398043364316313E+27</v>
      </c>
      <c r="K5" s="4">
        <f>(J5)/60/60/24/365</f>
        <v>1.5981114714712175E+20</v>
      </c>
    </row>
    <row r="6" spans="2:11" x14ac:dyDescent="0.25">
      <c r="B6" s="1"/>
      <c r="C6" s="8">
        <f>C5+1</f>
        <v>2</v>
      </c>
      <c r="D6" s="3" t="s">
        <v>4</v>
      </c>
      <c r="E6" s="9" t="s">
        <v>4</v>
      </c>
      <c r="H6" s="2">
        <v>2</v>
      </c>
      <c r="I6" s="2">
        <v>30</v>
      </c>
      <c r="J6" s="2" t="s">
        <v>4</v>
      </c>
      <c r="K6" s="2" t="s">
        <v>4</v>
      </c>
    </row>
    <row r="7" spans="2:11" x14ac:dyDescent="0.25">
      <c r="B7" s="1"/>
      <c r="C7" s="8">
        <f t="shared" ref="C7:C20" si="0">C6+1</f>
        <v>3</v>
      </c>
      <c r="D7" s="3" t="s">
        <v>4</v>
      </c>
      <c r="E7" s="9" t="s">
        <v>4</v>
      </c>
      <c r="H7" s="2">
        <v>3</v>
      </c>
      <c r="I7" s="2">
        <v>30</v>
      </c>
      <c r="J7" s="2" t="s">
        <v>4</v>
      </c>
      <c r="K7" s="2" t="s">
        <v>4</v>
      </c>
    </row>
    <row r="8" spans="2:11" x14ac:dyDescent="0.25">
      <c r="B8" s="1"/>
      <c r="C8" s="8">
        <f t="shared" si="0"/>
        <v>4</v>
      </c>
      <c r="D8" s="4">
        <v>6.9999999999999999E-6</v>
      </c>
      <c r="E8" s="9" t="s">
        <v>4</v>
      </c>
      <c r="H8" s="2">
        <v>4</v>
      </c>
      <c r="I8" s="2">
        <v>30</v>
      </c>
      <c r="J8" s="4">
        <f>D8/FACT(C8)*FACT(I8)</f>
        <v>7.7365417445222402E+25</v>
      </c>
      <c r="K8" s="4">
        <f t="shared" ref="K8:K20" si="1">(J8)/60/60/24/365</f>
        <v>2.4532412939251144E+18</v>
      </c>
    </row>
    <row r="9" spans="2:11" x14ac:dyDescent="0.25">
      <c r="B9" s="1"/>
      <c r="C9" s="8">
        <f t="shared" si="0"/>
        <v>5</v>
      </c>
      <c r="D9" s="2">
        <f>0.0000019</f>
        <v>1.9E-6</v>
      </c>
      <c r="E9" s="10">
        <f>D9/D8</f>
        <v>0.27142857142857141</v>
      </c>
      <c r="H9" s="2">
        <f>H8+1</f>
        <v>5</v>
      </c>
      <c r="I9" s="2">
        <v>30</v>
      </c>
      <c r="J9" s="4">
        <f t="shared" ref="J9:J20" si="2">D9/FACT(C9)*FACT(I9)</f>
        <v>4.1998369470263588E+24</v>
      </c>
      <c r="K9" s="4">
        <f t="shared" si="1"/>
        <v>1.3317595595593475E+17</v>
      </c>
    </row>
    <row r="10" spans="2:11" x14ac:dyDescent="0.25">
      <c r="B10" s="1"/>
      <c r="C10" s="8">
        <f t="shared" si="0"/>
        <v>6</v>
      </c>
      <c r="D10" s="2">
        <f>0.000038</f>
        <v>3.8000000000000002E-5</v>
      </c>
      <c r="E10" s="10">
        <f t="shared" ref="E10:E20" si="3">D10/D9</f>
        <v>20</v>
      </c>
      <c r="H10" s="2">
        <f t="shared" ref="H10:H20" si="4">H9+1</f>
        <v>6</v>
      </c>
      <c r="I10" s="2">
        <v>30</v>
      </c>
      <c r="J10" s="4">
        <f t="shared" si="2"/>
        <v>1.3999456490087864E+25</v>
      </c>
      <c r="K10" s="4">
        <f t="shared" si="1"/>
        <v>4.4391985318644934E+17</v>
      </c>
    </row>
    <row r="11" spans="2:11" x14ac:dyDescent="0.25">
      <c r="B11" s="1"/>
      <c r="C11" s="8">
        <f t="shared" si="0"/>
        <v>7</v>
      </c>
      <c r="D11" s="2">
        <v>1.2799999999999999E-4</v>
      </c>
      <c r="E11" s="10">
        <f t="shared" si="3"/>
        <v>3.3684210526315788</v>
      </c>
      <c r="H11" s="2">
        <f t="shared" si="4"/>
        <v>7</v>
      </c>
      <c r="I11" s="2">
        <v>30</v>
      </c>
      <c r="J11" s="4">
        <f t="shared" si="2"/>
        <v>6.7365805666588217E+24</v>
      </c>
      <c r="K11" s="4">
        <f t="shared" si="1"/>
        <v>2.1361556845062218E+17</v>
      </c>
    </row>
    <row r="12" spans="2:11" x14ac:dyDescent="0.25">
      <c r="C12" s="8">
        <f t="shared" si="0"/>
        <v>8</v>
      </c>
      <c r="D12" s="2">
        <v>5.1999999999999995E-4</v>
      </c>
      <c r="E12" s="10">
        <f t="shared" si="3"/>
        <v>4.0625</v>
      </c>
      <c r="H12" s="2">
        <f t="shared" si="4"/>
        <v>8</v>
      </c>
      <c r="I12" s="2">
        <v>30</v>
      </c>
      <c r="J12" s="4">
        <f t="shared" si="2"/>
        <v>3.4209198190064325E+24</v>
      </c>
      <c r="K12" s="4">
        <f t="shared" si="1"/>
        <v>1.0847665585383155E+17</v>
      </c>
    </row>
    <row r="13" spans="2:11" x14ac:dyDescent="0.25">
      <c r="C13" s="8">
        <f t="shared" si="0"/>
        <v>9</v>
      </c>
      <c r="D13" s="2">
        <v>2.003E-3</v>
      </c>
      <c r="E13" s="10">
        <f t="shared" si="3"/>
        <v>3.8519230769230774</v>
      </c>
      <c r="H13" s="2">
        <f t="shared" si="4"/>
        <v>9</v>
      </c>
      <c r="I13" s="2">
        <v>30</v>
      </c>
      <c r="J13" s="4">
        <f t="shared" si="2"/>
        <v>1.4641244439038217E+24</v>
      </c>
      <c r="K13" s="4">
        <f t="shared" si="1"/>
        <v>4.6427081554535184E+16</v>
      </c>
    </row>
    <row r="14" spans="2:11" x14ac:dyDescent="0.25">
      <c r="C14" s="8">
        <f t="shared" si="0"/>
        <v>10</v>
      </c>
      <c r="D14" s="2">
        <v>8.8249999999999995E-3</v>
      </c>
      <c r="E14" s="10">
        <f t="shared" si="3"/>
        <v>4.4058911632551174</v>
      </c>
      <c r="H14" s="2">
        <f t="shared" si="4"/>
        <v>10</v>
      </c>
      <c r="I14" s="2">
        <v>30</v>
      </c>
      <c r="J14" s="4">
        <f t="shared" si="2"/>
        <v>6.4507729493016593E+23</v>
      </c>
      <c r="K14" s="4">
        <f t="shared" si="1"/>
        <v>2.045526683568512E+16</v>
      </c>
    </row>
    <row r="15" spans="2:11" x14ac:dyDescent="0.25">
      <c r="C15" s="8">
        <f t="shared" si="0"/>
        <v>11</v>
      </c>
      <c r="D15" s="2">
        <v>4.6162000000000002E-2</v>
      </c>
      <c r="E15" s="10">
        <f t="shared" si="3"/>
        <v>5.2308215297450431</v>
      </c>
      <c r="H15" s="2">
        <f t="shared" si="4"/>
        <v>11</v>
      </c>
      <c r="I15" s="2">
        <v>30</v>
      </c>
      <c r="J15" s="4">
        <f t="shared" si="2"/>
        <v>3.0675310933367324E+23</v>
      </c>
      <c r="K15" s="4">
        <f t="shared" si="1"/>
        <v>9727077287343774</v>
      </c>
    </row>
    <row r="16" spans="2:11" x14ac:dyDescent="0.25">
      <c r="C16" s="8">
        <f t="shared" si="0"/>
        <v>12</v>
      </c>
      <c r="D16" s="2">
        <v>0.236206</v>
      </c>
      <c r="E16" s="10">
        <f t="shared" si="3"/>
        <v>5.1168926822927947</v>
      </c>
      <c r="H16" s="2">
        <f t="shared" si="4"/>
        <v>12</v>
      </c>
      <c r="I16" s="2">
        <v>30</v>
      </c>
      <c r="J16" s="4">
        <f t="shared" si="2"/>
        <v>1.3080189503500284E+23</v>
      </c>
      <c r="K16" s="4">
        <f t="shared" si="1"/>
        <v>4147700882642150</v>
      </c>
    </row>
    <row r="17" spans="3:11" x14ac:dyDescent="0.25">
      <c r="C17" s="8">
        <f t="shared" si="0"/>
        <v>13</v>
      </c>
      <c r="D17" s="2">
        <v>1.2398499999999999</v>
      </c>
      <c r="E17" s="10">
        <f t="shared" si="3"/>
        <v>5.2490199232872996</v>
      </c>
      <c r="H17" s="2">
        <f t="shared" si="4"/>
        <v>13</v>
      </c>
      <c r="I17" s="2">
        <v>30</v>
      </c>
      <c r="J17" s="4">
        <f t="shared" si="2"/>
        <v>5.2813981003266461E+22</v>
      </c>
      <c r="K17" s="4">
        <f t="shared" si="1"/>
        <v>1674720351448074.3</v>
      </c>
    </row>
    <row r="18" spans="3:11" x14ac:dyDescent="0.25">
      <c r="C18" s="8">
        <f t="shared" si="0"/>
        <v>14</v>
      </c>
      <c r="D18" s="2">
        <v>7.5340800000000003</v>
      </c>
      <c r="E18" s="10">
        <f t="shared" si="3"/>
        <v>6.0766060410533544</v>
      </c>
      <c r="H18" s="2">
        <f t="shared" si="4"/>
        <v>14</v>
      </c>
      <c r="I18" s="2">
        <v>30</v>
      </c>
      <c r="J18" s="4">
        <f t="shared" si="2"/>
        <v>2.292355400118043E+22</v>
      </c>
      <c r="K18" s="4">
        <f t="shared" si="1"/>
        <v>726901128906025.88</v>
      </c>
    </row>
    <row r="19" spans="3:11" x14ac:dyDescent="0.25">
      <c r="C19" s="8">
        <f t="shared" si="0"/>
        <v>15</v>
      </c>
      <c r="D19" s="2">
        <v>46.216299999999997</v>
      </c>
      <c r="E19" s="10">
        <f t="shared" si="3"/>
        <v>6.1342990783214404</v>
      </c>
      <c r="H19" s="2">
        <f t="shared" si="4"/>
        <v>15</v>
      </c>
      <c r="I19" s="2">
        <v>30</v>
      </c>
      <c r="J19" s="4">
        <f t="shared" si="2"/>
        <v>9.3746624120861921E+21</v>
      </c>
      <c r="K19" s="4">
        <f t="shared" si="1"/>
        <v>297268595005269.94</v>
      </c>
    </row>
    <row r="20" spans="3:11" ht="15.75" thickBot="1" x14ac:dyDescent="0.3">
      <c r="C20" s="11">
        <f t="shared" si="0"/>
        <v>16</v>
      </c>
      <c r="D20" s="12">
        <v>1529.03</v>
      </c>
      <c r="E20" s="13">
        <f t="shared" si="3"/>
        <v>33.084214876569526</v>
      </c>
      <c r="H20" s="2">
        <f t="shared" si="4"/>
        <v>16</v>
      </c>
      <c r="I20" s="2">
        <v>30</v>
      </c>
      <c r="J20" s="4">
        <f t="shared" si="2"/>
        <v>1.9384584102297448E+22</v>
      </c>
      <c r="K20" s="4">
        <f t="shared" si="1"/>
        <v>614681129575642</v>
      </c>
    </row>
    <row r="21" spans="3:11" x14ac:dyDescent="0.25">
      <c r="C21" s="1"/>
    </row>
    <row r="22" spans="3:11" x14ac:dyDescent="0.25">
      <c r="C22" s="1"/>
    </row>
    <row r="23" spans="3:11" x14ac:dyDescent="0.25">
      <c r="C23" s="1"/>
      <c r="I23" t="s">
        <v>9</v>
      </c>
      <c r="J23" t="s">
        <v>10</v>
      </c>
    </row>
    <row r="24" spans="3:11" x14ac:dyDescent="0.25">
      <c r="C24" s="1"/>
      <c r="H24">
        <v>30</v>
      </c>
      <c r="I24">
        <f>0.000000002*EXP(1.6041*30)</f>
        <v>1587023465778.8042</v>
      </c>
      <c r="J24">
        <f>I24/60/60/24/365</f>
        <v>50324.183973199019</v>
      </c>
    </row>
    <row r="25" spans="3:11" x14ac:dyDescent="0.25">
      <c r="C25" s="1"/>
      <c r="H25">
        <v>1</v>
      </c>
      <c r="I25">
        <f>0.000000002*EXP(1.6041*H25)</f>
        <v>9.9467630890513698E-9</v>
      </c>
    </row>
    <row r="26" spans="3:11" x14ac:dyDescent="0.25">
      <c r="C26" s="1"/>
      <c r="H26">
        <v>2</v>
      </c>
      <c r="I26">
        <f t="shared" ref="I26:I53" si="5">0.000000002*EXP(1.6041*H26)</f>
        <v>4.9469047974857375E-8</v>
      </c>
    </row>
    <row r="27" spans="3:11" x14ac:dyDescent="0.25">
      <c r="C27" s="1"/>
      <c r="H27">
        <v>3</v>
      </c>
      <c r="I27">
        <f t="shared" si="5"/>
        <v>2.4602845022341148E-7</v>
      </c>
      <c r="J27">
        <v>2</v>
      </c>
    </row>
    <row r="28" spans="3:11" x14ac:dyDescent="0.25">
      <c r="C28" s="1"/>
      <c r="H28">
        <f>H27+1</f>
        <v>4</v>
      </c>
      <c r="I28">
        <f t="shared" si="5"/>
        <v>1.2235933537693706E-6</v>
      </c>
    </row>
    <row r="29" spans="3:11" x14ac:dyDescent="0.25">
      <c r="C29" s="1"/>
      <c r="H29">
        <f t="shared" ref="H29:H53" si="6">H28+1</f>
        <v>5</v>
      </c>
      <c r="I29">
        <f t="shared" si="5"/>
        <v>6.0853966036408735E-6</v>
      </c>
    </row>
    <row r="30" spans="3:11" x14ac:dyDescent="0.25">
      <c r="C30" s="1"/>
      <c r="H30">
        <f t="shared" si="6"/>
        <v>6</v>
      </c>
      <c r="I30">
        <f t="shared" si="5"/>
        <v>3.0264999159666825E-5</v>
      </c>
    </row>
    <row r="31" spans="3:11" x14ac:dyDescent="0.25">
      <c r="H31">
        <f t="shared" si="6"/>
        <v>7</v>
      </c>
      <c r="I31">
        <f t="shared" si="5"/>
        <v>1.5051938826577218E-4</v>
      </c>
    </row>
    <row r="32" spans="3:11" x14ac:dyDescent="0.25">
      <c r="H32">
        <f t="shared" si="6"/>
        <v>8</v>
      </c>
      <c r="I32">
        <f t="shared" si="5"/>
        <v>7.4859034769428779E-4</v>
      </c>
    </row>
    <row r="33" spans="8:9" x14ac:dyDescent="0.25">
      <c r="H33">
        <f t="shared" si="6"/>
        <v>9</v>
      </c>
      <c r="I33">
        <f t="shared" si="5"/>
        <v>3.7230254196328394E-3</v>
      </c>
    </row>
    <row r="34" spans="8:9" x14ac:dyDescent="0.25">
      <c r="H34">
        <f t="shared" si="6"/>
        <v>10</v>
      </c>
      <c r="I34">
        <f t="shared" si="5"/>
        <v>1.8516025911801934E-2</v>
      </c>
    </row>
    <row r="35" spans="8:9" x14ac:dyDescent="0.25">
      <c r="H35">
        <f t="shared" si="6"/>
        <v>11</v>
      </c>
      <c r="I35">
        <f t="shared" si="5"/>
        <v>9.2087261547715016E-2</v>
      </c>
    </row>
    <row r="36" spans="8:9" x14ac:dyDescent="0.25">
      <c r="H36">
        <f t="shared" si="6"/>
        <v>12</v>
      </c>
      <c r="I36">
        <f t="shared" si="5"/>
        <v>0.45798508706731672</v>
      </c>
    </row>
    <row r="37" spans="8:9" x14ac:dyDescent="0.25">
      <c r="H37">
        <f t="shared" si="6"/>
        <v>13</v>
      </c>
      <c r="I37">
        <f t="shared" si="5"/>
        <v>2.2777345796885795</v>
      </c>
    </row>
    <row r="38" spans="8:9" x14ac:dyDescent="0.25">
      <c r="H38">
        <f t="shared" si="6"/>
        <v>14</v>
      </c>
      <c r="I38">
        <f t="shared" si="5"/>
        <v>11.328043121951138</v>
      </c>
    </row>
    <row r="39" spans="8:9" x14ac:dyDescent="0.25">
      <c r="H39">
        <f t="shared" si="6"/>
        <v>15</v>
      </c>
      <c r="I39">
        <f t="shared" si="5"/>
        <v>56.33868059830305</v>
      </c>
    </row>
    <row r="40" spans="8:9" x14ac:dyDescent="0.25">
      <c r="H40">
        <f t="shared" si="6"/>
        <v>16</v>
      </c>
      <c r="I40">
        <f t="shared" si="5"/>
        <v>280.19375433052738</v>
      </c>
    </row>
    <row r="41" spans="8:9" x14ac:dyDescent="0.25">
      <c r="H41">
        <f t="shared" si="6"/>
        <v>17</v>
      </c>
      <c r="I41">
        <f t="shared" si="5"/>
        <v>1393.5104466788071</v>
      </c>
    </row>
    <row r="42" spans="8:9" x14ac:dyDescent="0.25">
      <c r="H42">
        <f t="shared" si="6"/>
        <v>18</v>
      </c>
      <c r="I42">
        <f t="shared" si="5"/>
        <v>6930.4591376161388</v>
      </c>
    </row>
    <row r="43" spans="8:9" x14ac:dyDescent="0.25">
      <c r="H43">
        <f t="shared" si="6"/>
        <v>19</v>
      </c>
      <c r="I43">
        <f t="shared" si="5"/>
        <v>34467.817570109466</v>
      </c>
    </row>
    <row r="44" spans="8:9" x14ac:dyDescent="0.25">
      <c r="H44">
        <f t="shared" si="6"/>
        <v>20</v>
      </c>
      <c r="I44">
        <f t="shared" si="5"/>
        <v>171421.60778326035</v>
      </c>
    </row>
    <row r="45" spans="8:9" x14ac:dyDescent="0.25">
      <c r="H45">
        <f t="shared" si="6"/>
        <v>21</v>
      </c>
      <c r="I45">
        <f t="shared" si="5"/>
        <v>852545.06048218964</v>
      </c>
    </row>
    <row r="46" spans="8:9" x14ac:dyDescent="0.25">
      <c r="H46">
        <f t="shared" si="6"/>
        <v>22</v>
      </c>
      <c r="I46">
        <f t="shared" si="5"/>
        <v>4240031.8696786361</v>
      </c>
    </row>
    <row r="47" spans="8:9" x14ac:dyDescent="0.25">
      <c r="H47">
        <f t="shared" si="6"/>
        <v>23</v>
      </c>
      <c r="I47">
        <f t="shared" si="5"/>
        <v>21087296.248860516</v>
      </c>
    </row>
    <row r="48" spans="8:9" x14ac:dyDescent="0.25">
      <c r="H48">
        <f t="shared" si="6"/>
        <v>24</v>
      </c>
      <c r="I48">
        <f t="shared" si="5"/>
        <v>104875169.98802885</v>
      </c>
    </row>
    <row r="49" spans="8:9" x14ac:dyDescent="0.25">
      <c r="H49">
        <f t="shared" si="6"/>
        <v>25</v>
      </c>
      <c r="I49">
        <f t="shared" si="5"/>
        <v>521584234.89745432</v>
      </c>
    </row>
    <row r="50" spans="8:9" x14ac:dyDescent="0.25">
      <c r="H50">
        <f t="shared" si="6"/>
        <v>26</v>
      </c>
      <c r="I50">
        <f t="shared" si="5"/>
        <v>2594037407.7545552</v>
      </c>
    </row>
    <row r="51" spans="8:9" x14ac:dyDescent="0.25">
      <c r="H51">
        <f t="shared" si="6"/>
        <v>27</v>
      </c>
      <c r="I51">
        <f t="shared" si="5"/>
        <v>12901137769.535786</v>
      </c>
    </row>
    <row r="52" spans="8:9" x14ac:dyDescent="0.25">
      <c r="H52">
        <f t="shared" si="6"/>
        <v>28</v>
      </c>
      <c r="I52">
        <f t="shared" si="5"/>
        <v>64162280486.392235</v>
      </c>
    </row>
    <row r="53" spans="8:9" x14ac:dyDescent="0.25">
      <c r="H53">
        <f t="shared" si="6"/>
        <v>29</v>
      </c>
      <c r="I53">
        <f t="shared" si="5"/>
        <v>319103501625.70441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C84DE-72BA-4C8E-9C26-05D75F4C5552}">
  <dimension ref="B2:E17"/>
  <sheetViews>
    <sheetView workbookViewId="0">
      <selection activeCell="U5" sqref="U5"/>
    </sheetView>
  </sheetViews>
  <sheetFormatPr defaultRowHeight="15" x14ac:dyDescent="0.25"/>
  <sheetData>
    <row r="2" spans="2:5" x14ac:dyDescent="0.25">
      <c r="B2" t="s">
        <v>0</v>
      </c>
      <c r="C2" t="s">
        <v>19</v>
      </c>
      <c r="D2" t="s">
        <v>17</v>
      </c>
      <c r="E2" t="s">
        <v>18</v>
      </c>
    </row>
    <row r="3" spans="2:5" x14ac:dyDescent="0.25">
      <c r="B3">
        <v>10</v>
      </c>
      <c r="C3">
        <f>0.000086</f>
        <v>8.6000000000000003E-5</v>
      </c>
      <c r="D3">
        <v>4.75E-4</v>
      </c>
      <c r="E3">
        <v>1.95E-4</v>
      </c>
    </row>
    <row r="4" spans="2:5" x14ac:dyDescent="0.25">
      <c r="B4">
        <f t="shared" ref="B4:B17" si="0" xml:space="preserve"> B3+ 10</f>
        <v>20</v>
      </c>
      <c r="C4">
        <v>2.9589999999999998E-3</v>
      </c>
      <c r="D4">
        <v>6.0219999999999996E-3</v>
      </c>
      <c r="E4">
        <v>2.2829999999999999E-3</v>
      </c>
    </row>
    <row r="5" spans="2:5" x14ac:dyDescent="0.25">
      <c r="B5">
        <f t="shared" si="0"/>
        <v>30</v>
      </c>
      <c r="C5">
        <v>1.9303000000000001E-2</v>
      </c>
      <c r="D5">
        <v>1.2244E-2</v>
      </c>
      <c r="E5">
        <v>1.0973E-2</v>
      </c>
    </row>
    <row r="6" spans="2:5" x14ac:dyDescent="0.25">
      <c r="B6">
        <f t="shared" si="0"/>
        <v>40</v>
      </c>
      <c r="C6">
        <v>4.6774999999999997E-2</v>
      </c>
      <c r="D6">
        <v>4.3147999999999999E-2</v>
      </c>
      <c r="E6">
        <v>5.5018999999999998E-2</v>
      </c>
    </row>
    <row r="7" spans="2:5" x14ac:dyDescent="0.25">
      <c r="B7">
        <f t="shared" si="0"/>
        <v>50</v>
      </c>
      <c r="C7">
        <v>0.15993499999999999</v>
      </c>
      <c r="D7">
        <v>0.13850499999999999</v>
      </c>
      <c r="E7">
        <v>0.14929100000000001</v>
      </c>
    </row>
    <row r="8" spans="2:5" x14ac:dyDescent="0.25">
      <c r="B8">
        <f t="shared" si="0"/>
        <v>60</v>
      </c>
      <c r="C8">
        <v>0.202901</v>
      </c>
      <c r="D8">
        <v>0.19014200000000001</v>
      </c>
      <c r="E8">
        <v>0.55074999999999996</v>
      </c>
    </row>
    <row r="9" spans="2:5" x14ac:dyDescent="0.25">
      <c r="B9">
        <f t="shared" si="0"/>
        <v>70</v>
      </c>
      <c r="C9">
        <v>0.76786200000000004</v>
      </c>
      <c r="D9">
        <v>0.81885699999999995</v>
      </c>
      <c r="E9">
        <v>1.1645700000000001</v>
      </c>
    </row>
    <row r="10" spans="2:5" x14ac:dyDescent="0.25">
      <c r="B10">
        <f t="shared" si="0"/>
        <v>80</v>
      </c>
      <c r="C10">
        <v>0.945299</v>
      </c>
      <c r="D10">
        <v>0.88170300000000001</v>
      </c>
      <c r="E10">
        <v>3.4639500000000001</v>
      </c>
    </row>
    <row r="11" spans="2:5" x14ac:dyDescent="0.25">
      <c r="B11">
        <f t="shared" si="0"/>
        <v>90</v>
      </c>
      <c r="C11">
        <v>1.68699</v>
      </c>
      <c r="D11">
        <v>1.7022600000000001</v>
      </c>
      <c r="E11">
        <v>2.1688200000000002</v>
      </c>
    </row>
    <row r="12" spans="2:5" x14ac:dyDescent="0.25">
      <c r="B12">
        <f t="shared" si="0"/>
        <v>100</v>
      </c>
      <c r="C12">
        <v>3.3643100000000001</v>
      </c>
      <c r="D12">
        <v>3.2916799999999999</v>
      </c>
      <c r="E12">
        <v>3.0918199999999998</v>
      </c>
    </row>
    <row r="13" spans="2:5" x14ac:dyDescent="0.25">
      <c r="B13">
        <f t="shared" si="0"/>
        <v>110</v>
      </c>
      <c r="C13">
        <v>6.0031299999999996</v>
      </c>
      <c r="D13">
        <v>5.4827000000000004</v>
      </c>
      <c r="E13">
        <v>4.9277100000000003</v>
      </c>
    </row>
    <row r="14" spans="2:5" x14ac:dyDescent="0.25">
      <c r="B14">
        <f t="shared" si="0"/>
        <v>120</v>
      </c>
      <c r="C14">
        <v>8.0260499999999997</v>
      </c>
      <c r="D14">
        <v>8.0723199999999995</v>
      </c>
      <c r="E14">
        <v>7.8219000000000003</v>
      </c>
    </row>
    <row r="15" spans="2:5" x14ac:dyDescent="0.25">
      <c r="B15">
        <f t="shared" si="0"/>
        <v>130</v>
      </c>
      <c r="C15">
        <v>10.209899999999999</v>
      </c>
      <c r="D15">
        <v>13.795199999999999</v>
      </c>
      <c r="E15">
        <v>21.8446</v>
      </c>
    </row>
    <row r="16" spans="2:5" x14ac:dyDescent="0.25">
      <c r="B16">
        <f t="shared" si="0"/>
        <v>140</v>
      </c>
      <c r="C16">
        <v>14.5625</v>
      </c>
      <c r="D16">
        <v>16.3749</v>
      </c>
      <c r="E16">
        <v>13.506600000000001</v>
      </c>
    </row>
    <row r="17" spans="2:5" x14ac:dyDescent="0.25">
      <c r="B17">
        <f t="shared" si="0"/>
        <v>150</v>
      </c>
      <c r="C17">
        <v>21.048500000000001</v>
      </c>
      <c r="D17">
        <v>21.153600000000001</v>
      </c>
      <c r="E17">
        <v>39.650199999999998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26000-30B4-4206-89BD-2575B10C28E8}">
  <dimension ref="B1:G26"/>
  <sheetViews>
    <sheetView zoomScale="130" zoomScaleNormal="130" workbookViewId="0">
      <selection activeCell="J20" sqref="J20"/>
    </sheetView>
  </sheetViews>
  <sheetFormatPr defaultRowHeight="15" x14ac:dyDescent="0.25"/>
  <cols>
    <col min="3" max="3" width="11.42578125" customWidth="1"/>
    <col min="6" max="6" width="14.28515625" customWidth="1"/>
    <col min="7" max="7" width="19.28515625" customWidth="1"/>
  </cols>
  <sheetData>
    <row r="1" spans="2:7" ht="15.75" thickBot="1" x14ac:dyDescent="0.3"/>
    <row r="2" spans="2:7" ht="15.75" thickBot="1" x14ac:dyDescent="0.3">
      <c r="B2" s="14"/>
      <c r="C2" s="39" t="s">
        <v>11</v>
      </c>
      <c r="D2" s="40"/>
      <c r="E2" s="25"/>
      <c r="F2" s="40" t="s">
        <v>14</v>
      </c>
      <c r="G2" s="41"/>
    </row>
    <row r="3" spans="2:7" x14ac:dyDescent="0.25">
      <c r="B3" s="24" t="s">
        <v>0</v>
      </c>
      <c r="C3" s="26" t="s">
        <v>12</v>
      </c>
      <c r="D3" s="27" t="s">
        <v>13</v>
      </c>
      <c r="E3" s="30"/>
      <c r="F3" s="26" t="s">
        <v>12</v>
      </c>
      <c r="G3" s="27" t="s">
        <v>13</v>
      </c>
    </row>
    <row r="4" spans="2:7" x14ac:dyDescent="0.25">
      <c r="B4" s="20">
        <v>200</v>
      </c>
      <c r="C4" s="16">
        <v>7.6763700000000004</v>
      </c>
      <c r="D4" s="17">
        <v>19.549099999999999</v>
      </c>
      <c r="E4" s="31"/>
      <c r="F4" s="16">
        <v>8.2110500000000002</v>
      </c>
      <c r="G4" s="17">
        <v>13.744300000000001</v>
      </c>
    </row>
    <row r="5" spans="2:7" x14ac:dyDescent="0.25">
      <c r="B5" s="20">
        <f>B4+5</f>
        <v>205</v>
      </c>
      <c r="C5" s="16">
        <v>15.295199999999999</v>
      </c>
      <c r="D5" s="17">
        <v>41.034599999999998</v>
      </c>
      <c r="E5" s="31"/>
      <c r="F5" s="16">
        <v>15.815300000000001</v>
      </c>
      <c r="G5" s="17">
        <v>15.1333</v>
      </c>
    </row>
    <row r="6" spans="2:7" x14ac:dyDescent="0.25">
      <c r="B6" s="20">
        <f t="shared" ref="B6:B23" si="0">B5+5</f>
        <v>210</v>
      </c>
      <c r="C6" s="16">
        <v>5.9945000000000004</v>
      </c>
      <c r="D6" s="17">
        <v>15.539300000000001</v>
      </c>
      <c r="E6" s="31"/>
      <c r="F6" s="16">
        <v>6.1112000000000002</v>
      </c>
      <c r="G6" s="17">
        <v>18.876899999999999</v>
      </c>
    </row>
    <row r="7" spans="2:7" x14ac:dyDescent="0.25">
      <c r="B7" s="20">
        <f t="shared" si="0"/>
        <v>215</v>
      </c>
      <c r="C7" s="16">
        <v>9.3238099999999999</v>
      </c>
      <c r="D7" s="17">
        <v>25.123799999999999</v>
      </c>
      <c r="E7" s="31"/>
      <c r="F7" s="16">
        <v>8.4851799999999997</v>
      </c>
      <c r="G7" s="17">
        <v>27.2623</v>
      </c>
    </row>
    <row r="8" spans="2:7" x14ac:dyDescent="0.25">
      <c r="B8" s="20">
        <f t="shared" si="0"/>
        <v>220</v>
      </c>
      <c r="C8" s="16">
        <v>6.4506300000000003</v>
      </c>
      <c r="D8" s="17">
        <v>47.169499999999999</v>
      </c>
      <c r="E8" s="31"/>
      <c r="F8" s="16">
        <v>36.2226</v>
      </c>
      <c r="G8" s="17">
        <v>14.2811</v>
      </c>
    </row>
    <row r="9" spans="2:7" x14ac:dyDescent="0.25">
      <c r="B9" s="20">
        <f t="shared" si="0"/>
        <v>225</v>
      </c>
      <c r="C9" s="16">
        <v>8.3713899999999999</v>
      </c>
      <c r="D9" s="17">
        <v>27.700199999999999</v>
      </c>
      <c r="E9" s="31"/>
      <c r="F9" s="16">
        <v>6.7152500000000002</v>
      </c>
      <c r="G9" s="17">
        <v>8.5185899999999997</v>
      </c>
    </row>
    <row r="10" spans="2:7" x14ac:dyDescent="0.25">
      <c r="B10" s="20">
        <f t="shared" si="0"/>
        <v>230</v>
      </c>
      <c r="C10" s="16">
        <v>6.6021200000000002</v>
      </c>
      <c r="D10" s="17">
        <v>27.148499999999999</v>
      </c>
      <c r="E10" s="31"/>
      <c r="F10" s="16">
        <v>9.0588300000000004</v>
      </c>
      <c r="G10" s="17">
        <v>21.375900000000001</v>
      </c>
    </row>
    <row r="11" spans="2:7" x14ac:dyDescent="0.25">
      <c r="B11" s="20">
        <f t="shared" si="0"/>
        <v>235</v>
      </c>
      <c r="C11" s="16">
        <v>21.138500000000001</v>
      </c>
      <c r="D11" s="17">
        <v>24.145600000000002</v>
      </c>
      <c r="E11" s="31"/>
      <c r="F11" s="16">
        <v>6.3156499999999998</v>
      </c>
      <c r="G11" s="17">
        <v>16.648800000000001</v>
      </c>
    </row>
    <row r="12" spans="2:7" x14ac:dyDescent="0.25">
      <c r="B12" s="20">
        <f t="shared" si="0"/>
        <v>240</v>
      </c>
      <c r="C12" s="16">
        <v>12.1982</v>
      </c>
      <c r="D12" s="17">
        <v>61.704799999999999</v>
      </c>
      <c r="E12" s="31"/>
      <c r="F12" s="16">
        <v>13.514900000000001</v>
      </c>
      <c r="G12" s="17">
        <v>11.457000000000001</v>
      </c>
    </row>
    <row r="13" spans="2:7" x14ac:dyDescent="0.25">
      <c r="B13" s="20">
        <f t="shared" si="0"/>
        <v>245</v>
      </c>
      <c r="C13" s="16">
        <v>19.964400000000001</v>
      </c>
      <c r="D13" s="17">
        <v>15.03</v>
      </c>
      <c r="E13" s="31"/>
      <c r="F13" s="16">
        <v>17.808399999999999</v>
      </c>
      <c r="G13" s="17">
        <v>34.015599999999999</v>
      </c>
    </row>
    <row r="14" spans="2:7" x14ac:dyDescent="0.25">
      <c r="B14" s="20">
        <f t="shared" si="0"/>
        <v>250</v>
      </c>
      <c r="C14" s="16">
        <v>20.569199999999999</v>
      </c>
      <c r="D14" s="17">
        <v>54.313899999999997</v>
      </c>
      <c r="E14" s="31"/>
      <c r="F14" s="16">
        <v>26.505700000000001</v>
      </c>
      <c r="G14" s="17">
        <v>63.374200000000002</v>
      </c>
    </row>
    <row r="15" spans="2:7" x14ac:dyDescent="0.25">
      <c r="B15" s="20">
        <f t="shared" si="0"/>
        <v>255</v>
      </c>
      <c r="C15" s="16">
        <v>11.720499999999999</v>
      </c>
      <c r="D15" s="17">
        <v>38.154499999999999</v>
      </c>
      <c r="E15" s="31"/>
      <c r="F15" s="16">
        <v>29.765899999999998</v>
      </c>
      <c r="G15" s="17">
        <v>95.224100000000007</v>
      </c>
    </row>
    <row r="16" spans="2:7" x14ac:dyDescent="0.25">
      <c r="B16" s="20">
        <f t="shared" si="0"/>
        <v>260</v>
      </c>
      <c r="C16" s="16">
        <v>15.6325</v>
      </c>
      <c r="D16" s="17">
        <v>23.808599999999998</v>
      </c>
      <c r="E16" s="31"/>
      <c r="F16" s="16">
        <v>12.9404</v>
      </c>
      <c r="G16" s="17">
        <v>69.949600000000004</v>
      </c>
    </row>
    <row r="17" spans="2:7" x14ac:dyDescent="0.25">
      <c r="B17" s="20">
        <f t="shared" si="0"/>
        <v>265</v>
      </c>
      <c r="C17" s="16">
        <v>33.116799999999998</v>
      </c>
      <c r="D17" s="17">
        <v>63.33</v>
      </c>
      <c r="E17" s="31"/>
      <c r="F17" s="16">
        <v>17.343399999999999</v>
      </c>
      <c r="G17" s="17">
        <v>39.748199999999997</v>
      </c>
    </row>
    <row r="18" spans="2:7" x14ac:dyDescent="0.25">
      <c r="B18" s="20">
        <f t="shared" si="0"/>
        <v>270</v>
      </c>
      <c r="C18" s="16">
        <v>22.735700000000001</v>
      </c>
      <c r="D18" s="17">
        <v>52.744999999999997</v>
      </c>
      <c r="E18" s="31"/>
      <c r="F18" s="16">
        <v>32.4133</v>
      </c>
      <c r="G18" s="17">
        <v>18.226700000000001</v>
      </c>
    </row>
    <row r="19" spans="2:7" x14ac:dyDescent="0.25">
      <c r="B19" s="20">
        <f t="shared" si="0"/>
        <v>275</v>
      </c>
      <c r="C19" s="16">
        <v>26.564900000000002</v>
      </c>
      <c r="D19" s="17">
        <v>67.295000000000002</v>
      </c>
      <c r="E19" s="31"/>
      <c r="F19" s="16">
        <v>31.533000000000001</v>
      </c>
      <c r="G19" s="17">
        <v>77.695800000000006</v>
      </c>
    </row>
    <row r="20" spans="2:7" x14ac:dyDescent="0.25">
      <c r="B20" s="20">
        <f t="shared" si="0"/>
        <v>280</v>
      </c>
      <c r="C20" s="16">
        <v>87.529700000000005</v>
      </c>
      <c r="D20" s="17">
        <v>55.209899999999998</v>
      </c>
      <c r="E20" s="31"/>
      <c r="F20" s="16">
        <v>13.959300000000001</v>
      </c>
      <c r="G20" s="17">
        <v>95.950699999999998</v>
      </c>
    </row>
    <row r="21" spans="2:7" x14ac:dyDescent="0.25">
      <c r="B21" s="20">
        <f t="shared" si="0"/>
        <v>285</v>
      </c>
      <c r="C21" s="16">
        <v>23.9483</v>
      </c>
      <c r="D21" s="17">
        <v>39.184800000000003</v>
      </c>
      <c r="E21" s="31"/>
      <c r="F21" s="16">
        <v>75.637100000000004</v>
      </c>
      <c r="G21" s="17">
        <v>42.873699999999999</v>
      </c>
    </row>
    <row r="22" spans="2:7" x14ac:dyDescent="0.25">
      <c r="B22" s="20">
        <f t="shared" si="0"/>
        <v>290</v>
      </c>
      <c r="C22" s="16">
        <v>12.9648</v>
      </c>
      <c r="D22" s="17">
        <v>103.889</v>
      </c>
      <c r="E22" s="31"/>
      <c r="F22" s="16">
        <v>14.3809</v>
      </c>
      <c r="G22" s="17">
        <v>22.2163</v>
      </c>
    </row>
    <row r="23" spans="2:7" ht="15.75" thickBot="1" x14ac:dyDescent="0.3">
      <c r="B23" s="20">
        <f t="shared" si="0"/>
        <v>295</v>
      </c>
      <c r="C23" s="28">
        <v>59.739800000000002</v>
      </c>
      <c r="D23" s="29">
        <v>51.148899999999998</v>
      </c>
      <c r="E23" s="31"/>
      <c r="F23" s="28">
        <v>48.712499999999999</v>
      </c>
      <c r="G23" s="29">
        <v>34.376199999999997</v>
      </c>
    </row>
    <row r="24" spans="2:7" ht="15.75" thickBot="1" x14ac:dyDescent="0.3">
      <c r="B24" s="21"/>
      <c r="C24" s="32"/>
      <c r="D24" s="33"/>
      <c r="E24" s="15"/>
      <c r="F24" s="33"/>
      <c r="G24" s="38"/>
    </row>
    <row r="25" spans="2:7" x14ac:dyDescent="0.25">
      <c r="B25" s="22" t="s">
        <v>15</v>
      </c>
      <c r="C25" s="34">
        <f>MEDIAN(C4:C23)</f>
        <v>15.463850000000001</v>
      </c>
      <c r="D25" s="35">
        <f>MEDIAN(D4:D23)</f>
        <v>40.109700000000004</v>
      </c>
      <c r="E25" s="36"/>
      <c r="F25" s="34">
        <f>MEDIAN(F4:F23)</f>
        <v>15.098100000000001</v>
      </c>
      <c r="G25" s="35">
        <f>MEDIAN(G4:G23)</f>
        <v>24.7393</v>
      </c>
    </row>
    <row r="26" spans="2:7" ht="15.75" thickBot="1" x14ac:dyDescent="0.3">
      <c r="B26" s="23" t="s">
        <v>16</v>
      </c>
      <c r="C26" s="18">
        <f>AVERAGE(C4:C23)</f>
        <v>21.376866</v>
      </c>
      <c r="D26" s="19">
        <f>AVERAGE(D4:D23)</f>
        <v>42.661249999999988</v>
      </c>
      <c r="E26" s="37"/>
      <c r="F26" s="18">
        <f>AVERAGE(F4:F23)</f>
        <v>21.572492999999998</v>
      </c>
      <c r="G26" s="19">
        <f>AVERAGE(G4:G23)</f>
        <v>37.047464500000004</v>
      </c>
    </row>
  </sheetData>
  <mergeCells count="2">
    <mergeCell ref="C2:D2"/>
    <mergeCell ref="F2:G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BFS Time</vt:lpstr>
      <vt:lpstr>Hill Climbing</vt:lpstr>
      <vt:lpstr>Simulated Annealing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Nick Van Der Merwe</dc:creator>
  <cp:lastModifiedBy>Nick Van Der Merwe</cp:lastModifiedBy>
  <dcterms:created xsi:type="dcterms:W3CDTF">2020-03-21T00:12:19Z</dcterms:created>
  <dcterms:modified xsi:type="dcterms:W3CDTF">2020-03-24T09:02:31Z</dcterms:modified>
</cp:coreProperties>
</file>