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Griffith University\Second Year\First Trimester\2802ICT - Intelligent Systems\assessment\ass1CPP\"/>
    </mc:Choice>
  </mc:AlternateContent>
  <xr:revisionPtr revIDLastSave="0" documentId="13_ncr:1_{D0D59811-4CF4-49BA-9C46-CCADFEF4DDA8}" xr6:coauthVersionLast="44" xr6:coauthVersionMax="44" xr10:uidLastSave="{00000000-0000-0000-0000-000000000000}"/>
  <bookViews>
    <workbookView xWindow="-120" yWindow="-120" windowWidth="29040" windowHeight="16440" xr2:uid="{53CB858A-427C-4403-994D-74452B611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4" i="1" l="1"/>
  <c r="I24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5" i="1"/>
  <c r="J5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H10" i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9" i="1"/>
  <c r="E20" i="1"/>
  <c r="E19" i="1"/>
  <c r="E18" i="1"/>
  <c r="E17" i="1"/>
  <c r="E16" i="1"/>
  <c r="E15" i="1"/>
  <c r="E14" i="1"/>
  <c r="E13" i="1"/>
  <c r="E12" i="1"/>
  <c r="E11" i="1"/>
  <c r="E10" i="1"/>
  <c r="E9" i="1"/>
  <c r="D10" i="1"/>
  <c r="D9" i="1"/>
  <c r="D5" i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6" i="1"/>
</calcChain>
</file>

<file path=xl/sharedStrings.xml><?xml version="1.0" encoding="utf-8"?>
<sst xmlns="http://schemas.openxmlformats.org/spreadsheetml/2006/main" count="20" uniqueCount="11">
  <si>
    <t xml:space="preserve">N = </t>
  </si>
  <si>
    <t>Time taken</t>
  </si>
  <si>
    <t>Times bigger than previous</t>
  </si>
  <si>
    <t>BFS benchmarks</t>
  </si>
  <si>
    <t>N/A</t>
  </si>
  <si>
    <t>OldN</t>
  </si>
  <si>
    <t>newN</t>
  </si>
  <si>
    <t>Predicted time (seconds)</t>
  </si>
  <si>
    <t>Predicted time (years)</t>
  </si>
  <si>
    <t>N = 30 seconds</t>
  </si>
  <si>
    <t>N = 30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</si>
</sst>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11" fontId="0" fillId="0" borderId="1" xfId="0" applyNumberFormat="1" applyBorder="1"/>
    <xf numFmtId="0" fontId="3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6" xfId="0" applyNumberFormat="1" applyBorder="1"/>
    <xf numFmtId="0" fontId="2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n-queens</a:t>
            </a:r>
            <a:r>
              <a:rPr lang="en-US" baseline="0"/>
              <a:t> BFs solution time</a:t>
            </a:r>
            <a:endParaRPr lang="en-US"/>
          </a:p>
        </c:rich>
      </c:tx>
      <c:layout>
        <c:manualLayout>
          <c:xMode val="edge"/>
          <c:yMode val="edge"/>
          <c:x val="0.29720888888888891"/>
          <c:y val="1.2578616352201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Sheet1!$D$4:$D$7</c:f>
              <c:strCache>
                <c:ptCount val="4"/>
                <c:pt idx="0">
                  <c:v>Time taken</c:v>
                </c:pt>
                <c:pt idx="1">
                  <c:v>0.000019</c:v>
                </c:pt>
                <c:pt idx="2">
                  <c:v>N/A</c:v>
                </c:pt>
                <c:pt idx="3">
                  <c:v>N/A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Sheet1!$C$8:$C$20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xVal>
          <c:yVal>
            <c:numRef>
              <c:f>Sheet1!$D$8:$D$20</c:f>
              <c:numCache>
                <c:formatCode>General</c:formatCode>
                <c:ptCount val="13"/>
                <c:pt idx="0" formatCode="0.00E+00">
                  <c:v>6.9999999999999999E-6</c:v>
                </c:pt>
                <c:pt idx="1">
                  <c:v>1.9E-6</c:v>
                </c:pt>
                <c:pt idx="2">
                  <c:v>3.8000000000000002E-5</c:v>
                </c:pt>
                <c:pt idx="3">
                  <c:v>1.2799999999999999E-4</c:v>
                </c:pt>
                <c:pt idx="4">
                  <c:v>5.1999999999999995E-4</c:v>
                </c:pt>
                <c:pt idx="5">
                  <c:v>2.003E-3</c:v>
                </c:pt>
                <c:pt idx="6">
                  <c:v>8.8249999999999995E-3</c:v>
                </c:pt>
                <c:pt idx="7">
                  <c:v>4.6162000000000002E-2</c:v>
                </c:pt>
                <c:pt idx="8">
                  <c:v>0.236206</c:v>
                </c:pt>
                <c:pt idx="9">
                  <c:v>1.2398499999999999</c:v>
                </c:pt>
                <c:pt idx="10">
                  <c:v>7.5340800000000003</c:v>
                </c:pt>
                <c:pt idx="11">
                  <c:v>46.216299999999997</c:v>
                </c:pt>
                <c:pt idx="12">
                  <c:v>1529.03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D5-4655-B531-995FF427B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165024"/>
        <c:axId val="1851887072"/>
      </c:scatterChart>
      <c:valAx>
        <c:axId val="164116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number</a:t>
                </a:r>
                <a:r>
                  <a:rPr lang="en-AU" baseline="0"/>
                  <a:t> of queens</a:t>
                </a:r>
                <a:endParaRPr lang="en-AU"/>
              </a:p>
            </c:rich>
          </c:tx>
          <c:layout>
            <c:manualLayout>
              <c:xMode val="edge"/>
              <c:yMode val="edge"/>
              <c:x val="0.50504818897637804"/>
              <c:y val="0.953909770712623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87072"/>
        <c:crosses val="autoZero"/>
        <c:crossBetween val="midCat"/>
      </c:valAx>
      <c:valAx>
        <c:axId val="18518870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log10</a:t>
                </a:r>
                <a:r>
                  <a:rPr lang="en-AU" baseline="0"/>
                  <a:t>(time taken in seconds)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16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18527</xdr:colOff>
      <xdr:row>21</xdr:row>
      <xdr:rowOff>54565</xdr:rowOff>
    </xdr:from>
    <xdr:to>
      <xdr:col>6</xdr:col>
      <xdr:colOff>316155</xdr:colOff>
      <xdr:row>36</xdr:row>
      <xdr:rowOff>139047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116327-D677-490B-996F-7E2667A2D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23C0-542A-4CC9-BEE5-1DDDFBE1174F}">
  <dimension ref="B2:K30"/>
  <sheetViews>
    <sheetView tabSelected="1" topLeftCell="A4" zoomScale="115" zoomScaleNormal="115" workbookViewId="0">
      <selection activeCell="J25" sqref="J25"/>
    </sheetView>
  </sheetViews>
  <sheetFormatPr defaultRowHeight="15" x14ac:dyDescent="0.25"/>
  <cols>
    <col min="4" max="4" width="11.5703125" customWidth="1"/>
    <col min="5" max="5" width="24.85546875" customWidth="1"/>
    <col min="9" max="9" width="13.140625" bestFit="1" customWidth="1"/>
    <col min="10" max="10" width="22.85546875" customWidth="1"/>
    <col min="11" max="11" width="21" bestFit="1" customWidth="1"/>
  </cols>
  <sheetData>
    <row r="2" spans="2:11" x14ac:dyDescent="0.25">
      <c r="B2" s="1"/>
      <c r="C2" s="1"/>
      <c r="D2" t="s">
        <v>3</v>
      </c>
    </row>
    <row r="3" spans="2:11" ht="15.75" thickBot="1" x14ac:dyDescent="0.3">
      <c r="B3" s="1"/>
      <c r="C3" s="1"/>
    </row>
    <row r="4" spans="2:11" x14ac:dyDescent="0.25">
      <c r="B4" s="1"/>
      <c r="C4" s="5" t="s">
        <v>0</v>
      </c>
      <c r="D4" s="6" t="s">
        <v>1</v>
      </c>
      <c r="E4" s="7" t="s">
        <v>2</v>
      </c>
      <c r="H4" s="2" t="s">
        <v>5</v>
      </c>
      <c r="I4" s="2" t="s">
        <v>6</v>
      </c>
      <c r="J4" s="2" t="s">
        <v>7</v>
      </c>
      <c r="K4" s="2" t="s">
        <v>8</v>
      </c>
    </row>
    <row r="5" spans="2:11" x14ac:dyDescent="0.25">
      <c r="B5" s="1"/>
      <c r="C5" s="8">
        <v>1</v>
      </c>
      <c r="D5" s="2">
        <f>0.000019</f>
        <v>1.9000000000000001E-5</v>
      </c>
      <c r="E5" s="9" t="s">
        <v>4</v>
      </c>
      <c r="H5" s="2">
        <v>1</v>
      </c>
      <c r="I5" s="2">
        <v>30</v>
      </c>
      <c r="J5" s="4">
        <f>D5/FACT(C5)*FACT(I5)</f>
        <v>5.0398043364316313E+27</v>
      </c>
      <c r="K5" s="4">
        <f>(J5)/60/60/24/365</f>
        <v>1.5981114714712175E+20</v>
      </c>
    </row>
    <row r="6" spans="2:11" x14ac:dyDescent="0.25">
      <c r="B6" s="1"/>
      <c r="C6" s="8">
        <f>C5+1</f>
        <v>2</v>
      </c>
      <c r="D6" s="3" t="s">
        <v>4</v>
      </c>
      <c r="E6" s="9" t="s">
        <v>4</v>
      </c>
      <c r="H6" s="2">
        <v>2</v>
      </c>
      <c r="I6" s="2">
        <v>30</v>
      </c>
      <c r="J6" s="2" t="s">
        <v>4</v>
      </c>
      <c r="K6" s="2" t="s">
        <v>4</v>
      </c>
    </row>
    <row r="7" spans="2:11" x14ac:dyDescent="0.25">
      <c r="B7" s="1"/>
      <c r="C7" s="8">
        <f t="shared" ref="C7:C30" si="0">C6+1</f>
        <v>3</v>
      </c>
      <c r="D7" s="3" t="s">
        <v>4</v>
      </c>
      <c r="E7" s="9" t="s">
        <v>4</v>
      </c>
      <c r="H7" s="2">
        <v>3</v>
      </c>
      <c r="I7" s="2">
        <v>30</v>
      </c>
      <c r="J7" s="2" t="s">
        <v>4</v>
      </c>
      <c r="K7" s="2" t="s">
        <v>4</v>
      </c>
    </row>
    <row r="8" spans="2:11" x14ac:dyDescent="0.25">
      <c r="B8" s="1"/>
      <c r="C8" s="8">
        <f t="shared" si="0"/>
        <v>4</v>
      </c>
      <c r="D8" s="4">
        <v>6.9999999999999999E-6</v>
      </c>
      <c r="E8" s="9" t="s">
        <v>4</v>
      </c>
      <c r="H8" s="2">
        <v>4</v>
      </c>
      <c r="I8" s="2">
        <v>30</v>
      </c>
      <c r="J8" s="4">
        <f>D8/FACT(C8)*FACT(I8)</f>
        <v>7.7365417445222402E+25</v>
      </c>
      <c r="K8" s="4">
        <f t="shared" ref="K8:K20" si="1">(J8)/60/60/24/365</f>
        <v>2.4532412939251144E+18</v>
      </c>
    </row>
    <row r="9" spans="2:11" x14ac:dyDescent="0.25">
      <c r="B9" s="1"/>
      <c r="C9" s="8">
        <f t="shared" si="0"/>
        <v>5</v>
      </c>
      <c r="D9" s="2">
        <f>0.0000019</f>
        <v>1.9E-6</v>
      </c>
      <c r="E9" s="10">
        <f>D9/D8</f>
        <v>0.27142857142857141</v>
      </c>
      <c r="H9" s="2">
        <f>H8+1</f>
        <v>5</v>
      </c>
      <c r="I9" s="2">
        <v>30</v>
      </c>
      <c r="J9" s="4">
        <f t="shared" ref="J9:J20" si="2">D9/FACT(C9)*FACT(I9)</f>
        <v>4.1998369470263588E+24</v>
      </c>
      <c r="K9" s="4">
        <f t="shared" si="1"/>
        <v>1.3317595595593475E+17</v>
      </c>
    </row>
    <row r="10" spans="2:11" x14ac:dyDescent="0.25">
      <c r="B10" s="1"/>
      <c r="C10" s="8">
        <f t="shared" si="0"/>
        <v>6</v>
      </c>
      <c r="D10" s="2">
        <f>0.000038</f>
        <v>3.8000000000000002E-5</v>
      </c>
      <c r="E10" s="10">
        <f t="shared" ref="E10:E20" si="3">D10/D9</f>
        <v>20</v>
      </c>
      <c r="H10" s="2">
        <f t="shared" ref="H10:H20" si="4">H9+1</f>
        <v>6</v>
      </c>
      <c r="I10" s="2">
        <v>30</v>
      </c>
      <c r="J10" s="4">
        <f t="shared" si="2"/>
        <v>1.3999456490087864E+25</v>
      </c>
      <c r="K10" s="4">
        <f t="shared" si="1"/>
        <v>4.4391985318644934E+17</v>
      </c>
    </row>
    <row r="11" spans="2:11" x14ac:dyDescent="0.25">
      <c r="B11" s="1"/>
      <c r="C11" s="8">
        <f t="shared" si="0"/>
        <v>7</v>
      </c>
      <c r="D11" s="2">
        <v>1.2799999999999999E-4</v>
      </c>
      <c r="E11" s="10">
        <f t="shared" si="3"/>
        <v>3.3684210526315788</v>
      </c>
      <c r="H11" s="2">
        <f t="shared" si="4"/>
        <v>7</v>
      </c>
      <c r="I11" s="2">
        <v>30</v>
      </c>
      <c r="J11" s="4">
        <f t="shared" si="2"/>
        <v>6.7365805666588217E+24</v>
      </c>
      <c r="K11" s="4">
        <f t="shared" si="1"/>
        <v>2.1361556845062218E+17</v>
      </c>
    </row>
    <row r="12" spans="2:11" x14ac:dyDescent="0.25">
      <c r="C12" s="8">
        <f t="shared" si="0"/>
        <v>8</v>
      </c>
      <c r="D12" s="2">
        <v>5.1999999999999995E-4</v>
      </c>
      <c r="E12" s="10">
        <f t="shared" si="3"/>
        <v>4.0625</v>
      </c>
      <c r="H12" s="2">
        <f t="shared" si="4"/>
        <v>8</v>
      </c>
      <c r="I12" s="2">
        <v>30</v>
      </c>
      <c r="J12" s="4">
        <f t="shared" si="2"/>
        <v>3.4209198190064325E+24</v>
      </c>
      <c r="K12" s="4">
        <f t="shared" si="1"/>
        <v>1.0847665585383155E+17</v>
      </c>
    </row>
    <row r="13" spans="2:11" x14ac:dyDescent="0.25">
      <c r="C13" s="8">
        <f t="shared" si="0"/>
        <v>9</v>
      </c>
      <c r="D13" s="2">
        <v>2.003E-3</v>
      </c>
      <c r="E13" s="10">
        <f t="shared" si="3"/>
        <v>3.8519230769230774</v>
      </c>
      <c r="H13" s="2">
        <f t="shared" si="4"/>
        <v>9</v>
      </c>
      <c r="I13" s="2">
        <v>30</v>
      </c>
      <c r="J13" s="4">
        <f t="shared" si="2"/>
        <v>1.4641244439038217E+24</v>
      </c>
      <c r="K13" s="4">
        <f t="shared" si="1"/>
        <v>4.6427081554535184E+16</v>
      </c>
    </row>
    <row r="14" spans="2:11" x14ac:dyDescent="0.25">
      <c r="C14" s="8">
        <f t="shared" si="0"/>
        <v>10</v>
      </c>
      <c r="D14" s="2">
        <v>8.8249999999999995E-3</v>
      </c>
      <c r="E14" s="10">
        <f t="shared" si="3"/>
        <v>4.4058911632551174</v>
      </c>
      <c r="H14" s="2">
        <f t="shared" si="4"/>
        <v>10</v>
      </c>
      <c r="I14" s="2">
        <v>30</v>
      </c>
      <c r="J14" s="4">
        <f t="shared" si="2"/>
        <v>6.4507729493016593E+23</v>
      </c>
      <c r="K14" s="4">
        <f t="shared" si="1"/>
        <v>2.045526683568512E+16</v>
      </c>
    </row>
    <row r="15" spans="2:11" x14ac:dyDescent="0.25">
      <c r="C15" s="8">
        <f t="shared" si="0"/>
        <v>11</v>
      </c>
      <c r="D15" s="2">
        <v>4.6162000000000002E-2</v>
      </c>
      <c r="E15" s="10">
        <f t="shared" si="3"/>
        <v>5.2308215297450431</v>
      </c>
      <c r="H15" s="2">
        <f t="shared" si="4"/>
        <v>11</v>
      </c>
      <c r="I15" s="2">
        <v>30</v>
      </c>
      <c r="J15" s="4">
        <f t="shared" si="2"/>
        <v>3.0675310933367324E+23</v>
      </c>
      <c r="K15" s="4">
        <f t="shared" si="1"/>
        <v>9727077287343774</v>
      </c>
    </row>
    <row r="16" spans="2:11" x14ac:dyDescent="0.25">
      <c r="C16" s="8">
        <f t="shared" si="0"/>
        <v>12</v>
      </c>
      <c r="D16" s="2">
        <v>0.236206</v>
      </c>
      <c r="E16" s="10">
        <f t="shared" si="3"/>
        <v>5.1168926822927947</v>
      </c>
      <c r="H16" s="2">
        <f t="shared" si="4"/>
        <v>12</v>
      </c>
      <c r="I16" s="2">
        <v>30</v>
      </c>
      <c r="J16" s="4">
        <f t="shared" si="2"/>
        <v>1.3080189503500284E+23</v>
      </c>
      <c r="K16" s="4">
        <f t="shared" si="1"/>
        <v>4147700882642150</v>
      </c>
    </row>
    <row r="17" spans="3:11" x14ac:dyDescent="0.25">
      <c r="C17" s="8">
        <f t="shared" si="0"/>
        <v>13</v>
      </c>
      <c r="D17" s="2">
        <v>1.2398499999999999</v>
      </c>
      <c r="E17" s="10">
        <f t="shared" si="3"/>
        <v>5.2490199232872996</v>
      </c>
      <c r="H17" s="2">
        <f t="shared" si="4"/>
        <v>13</v>
      </c>
      <c r="I17" s="2">
        <v>30</v>
      </c>
      <c r="J17" s="4">
        <f t="shared" si="2"/>
        <v>5.2813981003266461E+22</v>
      </c>
      <c r="K17" s="4">
        <f t="shared" si="1"/>
        <v>1674720351448074.3</v>
      </c>
    </row>
    <row r="18" spans="3:11" x14ac:dyDescent="0.25">
      <c r="C18" s="8">
        <f t="shared" si="0"/>
        <v>14</v>
      </c>
      <c r="D18" s="2">
        <v>7.5340800000000003</v>
      </c>
      <c r="E18" s="10">
        <f t="shared" si="3"/>
        <v>6.0766060410533544</v>
      </c>
      <c r="H18" s="2">
        <f t="shared" si="4"/>
        <v>14</v>
      </c>
      <c r="I18" s="2">
        <v>30</v>
      </c>
      <c r="J18" s="4">
        <f t="shared" si="2"/>
        <v>2.292355400118043E+22</v>
      </c>
      <c r="K18" s="4">
        <f t="shared" si="1"/>
        <v>726901128906025.88</v>
      </c>
    </row>
    <row r="19" spans="3:11" x14ac:dyDescent="0.25">
      <c r="C19" s="8">
        <f t="shared" si="0"/>
        <v>15</v>
      </c>
      <c r="D19" s="2">
        <v>46.216299999999997</v>
      </c>
      <c r="E19" s="10">
        <f t="shared" si="3"/>
        <v>6.1342990783214404</v>
      </c>
      <c r="H19" s="2">
        <f t="shared" si="4"/>
        <v>15</v>
      </c>
      <c r="I19" s="2">
        <v>30</v>
      </c>
      <c r="J19" s="4">
        <f t="shared" si="2"/>
        <v>9.3746624120861921E+21</v>
      </c>
      <c r="K19" s="4">
        <f t="shared" si="1"/>
        <v>297268595005269.94</v>
      </c>
    </row>
    <row r="20" spans="3:11" ht="15.75" thickBot="1" x14ac:dyDescent="0.3">
      <c r="C20" s="11">
        <f t="shared" si="0"/>
        <v>16</v>
      </c>
      <c r="D20" s="12">
        <v>1529.03</v>
      </c>
      <c r="E20" s="13">
        <f t="shared" si="3"/>
        <v>33.084214876569526</v>
      </c>
      <c r="H20" s="2">
        <f t="shared" si="4"/>
        <v>16</v>
      </c>
      <c r="I20" s="2">
        <v>30</v>
      </c>
      <c r="J20" s="4">
        <f t="shared" si="2"/>
        <v>1.9384584102297448E+22</v>
      </c>
      <c r="K20" s="4">
        <f t="shared" si="1"/>
        <v>614681129575642</v>
      </c>
    </row>
    <row r="21" spans="3:11" x14ac:dyDescent="0.25">
      <c r="C21" s="1"/>
    </row>
    <row r="22" spans="3:11" x14ac:dyDescent="0.25">
      <c r="C22" s="1"/>
    </row>
    <row r="23" spans="3:11" x14ac:dyDescent="0.25">
      <c r="C23" s="1"/>
      <c r="I23" t="s">
        <v>9</v>
      </c>
      <c r="J23" t="s">
        <v>10</v>
      </c>
    </row>
    <row r="24" spans="3:11" x14ac:dyDescent="0.25">
      <c r="C24" s="1"/>
      <c r="I24">
        <f>0.000000002*EXP(1.6041*30)</f>
        <v>1587023465778.8042</v>
      </c>
      <c r="J24">
        <f>I24/60/60/24/365</f>
        <v>50324.183973199019</v>
      </c>
    </row>
    <row r="25" spans="3:11" x14ac:dyDescent="0.25">
      <c r="C25" s="1"/>
    </row>
    <row r="26" spans="3:11" x14ac:dyDescent="0.25">
      <c r="C26" s="1"/>
    </row>
    <row r="27" spans="3:11" x14ac:dyDescent="0.25">
      <c r="C27" s="1"/>
    </row>
    <row r="28" spans="3:11" x14ac:dyDescent="0.25">
      <c r="C28" s="1"/>
    </row>
    <row r="29" spans="3:11" x14ac:dyDescent="0.25">
      <c r="C29" s="1"/>
    </row>
    <row r="30" spans="3:11" x14ac:dyDescent="0.25">
      <c r="C30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Der Merwe</dc:creator>
  <cp:lastModifiedBy>Nick Van Der Merwe</cp:lastModifiedBy>
  <dcterms:created xsi:type="dcterms:W3CDTF">2020-03-21T00:12:19Z</dcterms:created>
  <dcterms:modified xsi:type="dcterms:W3CDTF">2020-03-21T01:25:20Z</dcterms:modified>
</cp:coreProperties>
</file>